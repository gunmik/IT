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ТоварыТОвар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2" i="2"/>
  <c r="B6" i="2" s="1"/>
  <c r="F3" i="2"/>
  <c r="F4" i="2"/>
  <c r="F5" i="2"/>
  <c r="F2" i="2"/>
  <c r="E3" i="2"/>
  <c r="E4" i="2"/>
  <c r="E5" i="2"/>
  <c r="E2" i="2"/>
  <c r="A11" i="1"/>
  <c r="A10" i="1"/>
  <c r="B9" i="1"/>
  <c r="D7" i="1"/>
  <c r="E7" i="1"/>
  <c r="F7" i="1"/>
  <c r="B7" i="1"/>
  <c r="K2" i="1"/>
  <c r="J2" i="1"/>
  <c r="E3" i="1"/>
  <c r="F3" i="1" s="1"/>
  <c r="E4" i="1"/>
  <c r="F4" i="1" s="1"/>
  <c r="E5" i="1"/>
  <c r="E6" i="1"/>
  <c r="E2" i="1"/>
  <c r="F2" i="1"/>
  <c r="F5" i="1"/>
  <c r="F6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<sst xmlns="http://schemas.openxmlformats.org/spreadsheetml/2006/main" count="28" uniqueCount="28">
  <si>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</si>
  <si>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</si>
  <si>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</si>
  <si>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</si>
  <si>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</si>
  <si>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</si>
  <si>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</si>
  <si>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</si>
  <si>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Сидоров С.С.</t>
  </si>
  <si>
    <t xml:space="preserve">Кузнецова К.К. </t>
  </si>
  <si>
    <t>Смирнов С.С.</t>
  </si>
  <si>
    <t xml:space="preserve"> Ставка НДФЛ</t>
  </si>
  <si>
    <t>Коэффициент</t>
  </si>
  <si>
    <t>ИТОГО:</t>
  </si>
  <si>
    <t>Средняя зарплата:</t>
  </si>
  <si>
    <t>Товар</t>
  </si>
  <si>
    <t>Ноутбук</t>
  </si>
  <si>
    <t>Монитор</t>
  </si>
  <si>
    <t>Клавиатура</t>
  </si>
  <si>
    <t>Мышь</t>
  </si>
  <si>
    <t>Цена за ед.</t>
  </si>
  <si>
    <t>Кол-во</t>
  </si>
  <si>
    <t>Скидка%</t>
  </si>
  <si>
    <t>Стоимость</t>
  </si>
  <si>
    <t>Итого со скидкой</t>
  </si>
  <si>
    <t>Общей ставкой НДС 20%</t>
  </si>
  <si>
    <t>ндc</t>
  </si>
  <si>
    <t>Итог со скидкой: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</si>
</sst>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164" formatCode="_-* #,##0.00\ [$₽-419]_-;\-* #,##0.00\ [$₽-419]_-;_-* &quot;-&quot;??\ [$₽-419]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9" fontId="0" fillId="0" borderId="0" xfId="2" applyFont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3" borderId="0" xfId="0" applyFill="1"/>
    <xf numFmtId="0" fontId="3" fillId="0" borderId="0" xfId="0" applyFont="1" applyAlignment="1">
      <alignment horizontal="center" vertical="center"/>
    </xf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180975</xdr:colOff>
      <xdr:row>26</xdr:row>
      <xdr:rowOff>76200</xdr:rowOff>
    </xdr:from>
    <xdr:ext cx="65" cy="172227"/>
    <xdr:sp macro="" textlink="">
      <xdr:nvSpPr>
        <xdr:cNvPr id="2" name="TextBox 1"/>
        <xdr:cNvSpPr txBox="1"/>
      </xdr:nvSpPr>
      <xdr:spPr>
        <a:xfrm>
          <a:off x="7620000" y="502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E2" sqref="E2"/>
    </sheetView>
  </sheetViews>
  <sheetFormatPr defaultRowHeight="15" x14ac:dyDescent="0.25"/>
  <cols>
    <col min="1" max="1" width="19.140625" customWidth="1"/>
    <col min="2" max="2" width="15.85546875" customWidth="1"/>
    <col min="3" max="3" width="11.5703125" bestFit="1" customWidth="1"/>
    <col min="4" max="4" width="14.140625" customWidth="1"/>
    <col min="5" max="5" width="12.7109375" customWidth="1"/>
    <col min="6" max="6" width="16.5703125" customWidth="1"/>
    <col min="8" max="8" width="14.5703125" customWidth="1"/>
    <col min="9" max="9" width="19.42578125" customWidth="1"/>
    <col min="10" max="10" width="13.28515625" customWidth="1"/>
    <col min="11" max="11" width="12" bestFit="1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3" t="s">
        <v>11</v>
      </c>
      <c r="I1" s="4" t="s">
        <v>12</v>
      </c>
    </row>
    <row r="2" spans="1:11" x14ac:dyDescent="0.25">
      <c r="A2" t="s">
        <v>6</v>
      </c>
      <c r="B2" s="1">
        <v>50000</v>
      </c>
      <c r="C2">
        <v>20</v>
      </c>
      <c r="D2" s="5">
        <f>B2*C2/100</f>
        <v>10000</v>
      </c>
      <c r="E2">
        <f>(B2+D2)*$H$2</f>
        <v>7800</v>
      </c>
      <c r="F2" s="5">
        <f>B2+D2-E2</f>
        <v>52200</v>
      </c>
      <c r="H2" s="6">
        <v>0.13</v>
      </c>
      <c r="I2">
        <v>1.5</v>
      </c>
      <c r="J2" s="5">
        <f>B2*$I$2</f>
        <v>75000</v>
      </c>
      <c r="K2" s="5">
        <f>B2*I$2</f>
        <v>75000</v>
      </c>
    </row>
    <row r="3" spans="1:11" x14ac:dyDescent="0.25">
      <c r="A3" t="s">
        <v>7</v>
      </c>
      <c r="B3" s="1">
        <v>45000</v>
      </c>
      <c r="C3">
        <v>15</v>
      </c>
      <c r="D3" s="5">
        <f t="shared" ref="D3:D6" si="0">B3*C3/100</f>
        <v>6750</v>
      </c>
      <c r="E3">
        <f>(B3+D3)*0.13</f>
        <v>6727.5</v>
      </c>
      <c r="F3" s="5">
        <f t="shared" ref="F3:F6" si="1">B3+D3-E3</f>
        <v>45022.5</v>
      </c>
    </row>
    <row r="4" spans="1:11" x14ac:dyDescent="0.25">
      <c r="A4" t="s">
        <v>8</v>
      </c>
      <c r="B4" s="1">
        <v>60000</v>
      </c>
      <c r="C4">
        <v>25</v>
      </c>
      <c r="D4" s="5">
        <f t="shared" si="0"/>
        <v>15000</v>
      </c>
      <c r="E4">
        <f t="shared" ref="E4:E6" si="2">(B4+D4)*0.13</f>
        <v>9750</v>
      </c>
      <c r="F4" s="5">
        <f t="shared" si="1"/>
        <v>65250</v>
      </c>
    </row>
    <row r="5" spans="1:11" x14ac:dyDescent="0.25">
      <c r="A5" t="s">
        <v>9</v>
      </c>
      <c r="B5" s="1">
        <v>55000</v>
      </c>
      <c r="C5">
        <v>10</v>
      </c>
      <c r="D5" s="5">
        <f t="shared" si="0"/>
        <v>5500</v>
      </c>
      <c r="E5">
        <f t="shared" si="2"/>
        <v>7865</v>
      </c>
      <c r="F5" s="5">
        <f t="shared" si="1"/>
        <v>52635</v>
      </c>
    </row>
    <row r="6" spans="1:11" x14ac:dyDescent="0.25">
      <c r="A6" t="s">
        <v>10</v>
      </c>
      <c r="B6" s="1">
        <v>40000</v>
      </c>
      <c r="C6">
        <v>30</v>
      </c>
      <c r="D6" s="5">
        <f t="shared" si="0"/>
        <v>12000</v>
      </c>
      <c r="E6">
        <f t="shared" si="2"/>
        <v>6760</v>
      </c>
      <c r="F6" s="5">
        <f t="shared" si="1"/>
        <v>45240</v>
      </c>
    </row>
    <row r="7" spans="1:11" x14ac:dyDescent="0.25">
      <c r="A7" t="s">
        <v>13</v>
      </c>
      <c r="B7" s="5">
        <f>SUM(B2:B6)</f>
        <v>250000</v>
      </c>
      <c r="C7" s="5"/>
      <c r="D7" s="5">
        <f t="shared" ref="C7:F7" si="3">SUM(D2:D6)</f>
        <v>49250</v>
      </c>
      <c r="E7" s="5">
        <f t="shared" si="3"/>
        <v>38902.5</v>
      </c>
      <c r="F7" s="5">
        <f t="shared" si="3"/>
        <v>260347.5</v>
      </c>
    </row>
    <row r="9" spans="1:11" x14ac:dyDescent="0.25">
      <c r="A9" t="s">
        <v>14</v>
      </c>
      <c r="B9" s="5">
        <f>AVERAGE(F2:F7)</f>
        <v>86782.5</v>
      </c>
    </row>
    <row r="10" spans="1:11" x14ac:dyDescent="0.25">
      <c r="A10" s="5">
        <f>MAX(F2:F7)</f>
        <v>260347.5</v>
      </c>
    </row>
    <row r="11" spans="1:11" x14ac:dyDescent="0.25">
      <c r="A11" s="5">
        <f>MIN(F2:F7)</f>
        <v>45022.5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topLeftCell="A61" workbookViewId="0">
      <selection activeCell="I9" sqref="I9"/>
    </sheetView>
  </sheetViews>
  <sheetFormatPr defaultRowHeight="15" x14ac:dyDescent="0.25"/>
  <cols>
    <col min="1" max="1" width="16.28515625" customWidth="1"/>
    <col min="2" max="2" width="12.7109375" customWidth="1"/>
    <col min="3" max="3" width="17.28515625" customWidth="1"/>
    <col min="4" max="4" width="15.28515625" customWidth="1"/>
    <col min="5" max="5" width="16.140625" customWidth="1"/>
    <col min="6" max="6" width="19.140625" customWidth="1"/>
    <col min="7" max="7" width="24.5703125" customWidth="1"/>
    <col min="8" max="8" width="15.7109375" customWidth="1"/>
    <col min="9" max="9" width="13.42578125" customWidth="1"/>
  </cols>
  <sheetData>
    <row r="1" spans="1:9" x14ac:dyDescent="0.25">
      <c r="A1" s="7" t="s">
        <v>15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I1" s="7" t="s">
        <v>26</v>
      </c>
    </row>
    <row r="2" spans="1:9" x14ac:dyDescent="0.25">
      <c r="A2" t="s">
        <v>16</v>
      </c>
      <c r="B2">
        <v>45000</v>
      </c>
      <c r="C2">
        <v>5</v>
      </c>
      <c r="D2" s="2">
        <v>5</v>
      </c>
      <c r="E2" s="5">
        <f>(B2*C2)</f>
        <v>225000</v>
      </c>
      <c r="F2" s="5">
        <f>E2*(1 - D2/100)</f>
        <v>213750</v>
      </c>
      <c r="G2" s="5">
        <f>F2*$I$2</f>
        <v>42750</v>
      </c>
      <c r="I2" s="2">
        <v>0.2</v>
      </c>
    </row>
    <row r="3" spans="1:9" x14ac:dyDescent="0.25">
      <c r="A3" t="s">
        <v>17</v>
      </c>
      <c r="B3">
        <v>18000</v>
      </c>
      <c r="C3">
        <v>10</v>
      </c>
      <c r="D3" s="2">
        <v>3</v>
      </c>
      <c r="E3" s="5">
        <f t="shared" ref="E3:E5" si="0">(B3*C3)</f>
        <v>180000</v>
      </c>
      <c r="F3" s="5">
        <f t="shared" ref="F3:F5" si="1">E3*(1 - D3/100)</f>
        <v>174600</v>
      </c>
      <c r="G3" s="5">
        <f>F3*$I$2</f>
        <v>34920</v>
      </c>
    </row>
    <row r="4" spans="1:9" x14ac:dyDescent="0.25">
      <c r="A4" t="s">
        <v>18</v>
      </c>
      <c r="B4">
        <v>1500</v>
      </c>
      <c r="C4">
        <v>25</v>
      </c>
      <c r="D4" s="2">
        <v>10</v>
      </c>
      <c r="E4" s="5">
        <f t="shared" si="0"/>
        <v>37500</v>
      </c>
      <c r="F4" s="5">
        <f t="shared" si="1"/>
        <v>33750</v>
      </c>
      <c r="G4" s="5">
        <f>F4*$I$2</f>
        <v>6750</v>
      </c>
    </row>
    <row r="5" spans="1:9" x14ac:dyDescent="0.25">
      <c r="A5" t="s">
        <v>19</v>
      </c>
      <c r="B5">
        <v>800</v>
      </c>
      <c r="C5">
        <v>30</v>
      </c>
      <c r="D5" s="2">
        <v>7</v>
      </c>
      <c r="E5" s="5">
        <f t="shared" si="0"/>
        <v>24000</v>
      </c>
      <c r="F5" s="5">
        <f t="shared" si="1"/>
        <v>22320</v>
      </c>
      <c r="G5" s="5">
        <f>F5*$I$2</f>
        <v>4464</v>
      </c>
    </row>
    <row r="6" spans="1:9" x14ac:dyDescent="0.25">
      <c r="A6" t="s">
        <v>27</v>
      </c>
      <c r="B6" s="5">
        <f>SUM(G2:G5)</f>
        <v>88884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ТоварыТОвар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2026-09-23T11:44:30Z</dcterms:modified>
</cp:coreProperties>
</file>